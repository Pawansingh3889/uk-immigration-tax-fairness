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 Contribution" sheetId="1" state="visible" r:id="rId1"/>
    <sheet name="Immigration Costs" sheetId="2" state="visible" r:id="rId2"/>
    <sheet name="NHS Double Charge" sheetId="3" state="visible" r:id="rId3"/>
    <sheet name="Net Contribution" sheetId="4" state="visible" r:id="rId4"/>
    <sheet name="Pens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£#,##0"/>
  </numFmts>
  <fonts count="14">
    <font>
      <name val="Calibri"/>
      <family val="2"/>
      <color theme="1"/>
      <sz val="11"/>
      <scheme val="minor"/>
    </font>
    <font>
      <name val="Arial"/>
      <b val="1"/>
      <color rgb="002F5496"/>
      <sz val="16"/>
    </font>
    <font>
      <name val="Arial"/>
      <i val="1"/>
      <color rgb="00666666"/>
      <sz val="10"/>
    </font>
    <font>
      <name val="Arial"/>
      <b val="1"/>
      <color rgb="002F5496"/>
      <sz val="12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2F5496"/>
      <sz val="14"/>
    </font>
    <font>
      <name val="Arial"/>
      <b val="1"/>
      <color rgb="00C00000"/>
      <sz val="14"/>
    </font>
    <font>
      <name val="Arial"/>
      <b val="1"/>
      <color rgb="00C00000"/>
      <sz val="12"/>
    </font>
    <font>
      <name val="Arial"/>
      <b val="1"/>
      <color rgb="00006100"/>
      <sz val="12"/>
    </font>
    <font>
      <name val="Arial"/>
      <b val="1"/>
      <color rgb="00006100"/>
      <sz val="14"/>
    </font>
    <font>
      <name val="Arial"/>
      <b val="1"/>
      <color rgb="00006100"/>
      <sz val="18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5" fontId="5" fillId="5" borderId="1" applyAlignment="1" pivotButton="0" quotePrefix="0" xfId="0">
      <alignment horizontal="center"/>
    </xf>
    <xf numFmtId="165" fontId="5" fillId="6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0" fontId="5" fillId="0" borderId="1" pivotButton="0" quotePrefix="0" xfId="0"/>
    <xf numFmtId="0" fontId="6" fillId="0" borderId="1" pivotButton="0" quotePrefix="0" xfId="0"/>
    <xf numFmtId="0" fontId="9" fillId="0" borderId="1" pivotButton="0" quotePrefix="0" xfId="0"/>
    <xf numFmtId="165" fontId="8" fillId="0" borderId="1" applyAlignment="1" pivotButton="0" quotePrefix="0" xfId="0">
      <alignment horizontal="center"/>
    </xf>
    <xf numFmtId="0" fontId="10" fillId="0" borderId="0" pivotButton="0" quotePrefix="0" xfId="0"/>
    <xf numFmtId="165" fontId="11" fillId="6" borderId="1" applyAlignment="1" pivotButton="0" quotePrefix="0" xfId="0">
      <alignment horizontal="center"/>
    </xf>
    <xf numFmtId="0" fontId="9" fillId="0" borderId="0" pivotButton="0" quotePrefix="0" xfId="0"/>
    <xf numFmtId="0" fontId="7" fillId="0" borderId="0" pivotButton="0" quotePrefix="0" xfId="0"/>
    <xf numFmtId="165" fontId="12" fillId="6" borderId="0" pivotButton="0" quotePrefix="0" xfId="0"/>
    <xf numFmtId="0" fontId="13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Your Tax Contribution to the UK Government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'Tax Contribution'!B7</f>
            </strRef>
          </tx>
          <spPr>
            <a:ln>
              <a:prstDash val="solid"/>
            </a:ln>
          </spPr>
          <cat>
            <numRef>
              <f>'Tax Contribution'!$A$8:$A$9</f>
            </numRef>
          </cat>
          <val>
            <numRef>
              <f>'Tax Contribution'!$B$8:$B$9</f>
            </numRef>
          </val>
        </ser>
        <ser>
          <idx val="1"/>
          <order val="1"/>
          <tx>
            <strRef>
              <f>'Tax Contribution'!C7</f>
            </strRef>
          </tx>
          <spPr>
            <a:ln>
              <a:prstDash val="solid"/>
            </a:ln>
          </spPr>
          <cat>
            <numRef>
              <f>'Tax Contribution'!$A$8:$A$9</f>
            </numRef>
          </cat>
          <val>
            <numRef>
              <f>'Tax Contribution'!$C$8:$C$9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Extra Cost of Being an Immigrant (Same Job)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'Immigration Costs'!B4</f>
            </strRef>
          </tx>
          <spPr>
            <a:ln>
              <a:prstDash val="solid"/>
            </a:ln>
          </spPr>
          <cat>
            <numRef>
              <f>'Immigration Costs'!$A$5:$A$10</f>
            </numRef>
          </cat>
          <val>
            <numRef>
              <f>'Immigration Costs'!$B$5:$B$10</f>
            </numRef>
          </val>
        </ser>
        <ser>
          <idx val="1"/>
          <order val="1"/>
          <tx>
            <strRef>
              <f>'Immigration Costs'!C4</f>
            </strRef>
          </tx>
          <spPr>
            <a:ln>
              <a:prstDash val="solid"/>
            </a:ln>
          </spPr>
          <cat>
            <numRef>
              <f>'Immigration Costs'!$A$5:$A$10</f>
            </numRef>
          </cat>
          <val>
            <numRef>
              <f>'Immigration Costs'!$C$5:$C$10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Your NHS Payments: NI vs IHS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'NHS Double Charge'!$E$6:$E$7</f>
            </numRef>
          </cat>
          <val>
            <numRef>
              <f>'NHS Double Charge'!$F$6:$F$7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18" customWidth="1" min="4" max="4"/>
  </cols>
  <sheetData>
    <row r="1">
      <c r="A1" s="1" t="inlineStr">
        <is>
          <t>How Much Has a PSW Graduate Contributed to the UK?</t>
        </is>
      </c>
    </row>
    <row r="2">
      <c r="A2" s="2" t="inlineStr">
        <is>
          <t>Real payslip data: Cranswick Convenience Foods (Jul 2024 - Apr 2025) + Copernus Ltd (Apr 2025 - Mar 2026)</t>
        </is>
      </c>
    </row>
    <row r="4">
      <c r="A4" s="3" t="inlineStr">
        <is>
          <t>Employment Timeline</t>
        </is>
      </c>
    </row>
    <row r="5">
      <c r="A5" s="4" t="inlineStr"/>
      <c r="B5" s="4" t="inlineStr">
        <is>
          <t>Cranswick (Jul 2024 - Apr 2025)</t>
        </is>
      </c>
      <c r="C5" s="4" t="inlineStr">
        <is>
          <t>Copernus (Apr 2025 - Mar 2026)</t>
        </is>
      </c>
      <c r="D5" s="4" t="inlineStr">
        <is>
          <t>TOTAL</t>
        </is>
      </c>
    </row>
    <row r="6">
      <c r="A6" s="5" t="inlineStr">
        <is>
          <t>Hourly Rate</t>
        </is>
      </c>
      <c r="B6" s="6" t="n">
        <v>12.11</v>
      </c>
      <c r="C6" s="6" t="n">
        <v>14</v>
      </c>
      <c r="D6" s="5" t="inlineStr"/>
    </row>
    <row r="7">
      <c r="A7" s="5" t="inlineStr">
        <is>
          <t>Gross Earnings</t>
        </is>
      </c>
      <c r="B7" s="6" t="n">
        <v>11605.28</v>
      </c>
      <c r="C7" s="6" t="n">
        <v>30534.46</v>
      </c>
      <c r="D7" s="7">
        <f>B7+C7</f>
        <v/>
      </c>
    </row>
    <row r="8">
      <c r="A8" s="5" t="inlineStr">
        <is>
          <t>PAYE Income Tax</t>
        </is>
      </c>
      <c r="B8" s="6" t="n">
        <v>0</v>
      </c>
      <c r="C8" s="6" t="n">
        <v>3794.2</v>
      </c>
      <c r="D8" s="7">
        <f>B8+C8</f>
        <v/>
      </c>
    </row>
    <row r="9">
      <c r="A9" s="5" t="inlineStr">
        <is>
          <t>Employee National Insurance</t>
        </is>
      </c>
      <c r="B9" s="6" t="n">
        <v>485.34</v>
      </c>
      <c r="C9" s="6" t="n">
        <v>1513.47</v>
      </c>
      <c r="D9" s="7">
        <f>B9+C9</f>
        <v/>
      </c>
    </row>
    <row r="10">
      <c r="A10" s="5" t="inlineStr">
        <is>
          <t>Employee Pension</t>
        </is>
      </c>
      <c r="B10" s="6" t="n">
        <v>214.28</v>
      </c>
      <c r="C10" s="6" t="n">
        <v>1010.6</v>
      </c>
      <c r="D10" s="7">
        <f>B10+C10</f>
        <v/>
      </c>
    </row>
    <row r="11">
      <c r="A11" s="5" t="inlineStr">
        <is>
          <t>Employer NI (paid because of you)</t>
        </is>
      </c>
      <c r="B11" s="8" t="inlineStr">
        <is>
          <t>N/A</t>
        </is>
      </c>
      <c r="C11" s="6" t="n">
        <v>3888.91</v>
      </c>
      <c r="D11" s="5" t="inlineStr">
        <is>
          <t>~£5,400 est</t>
        </is>
      </c>
    </row>
    <row r="12">
      <c r="A12" s="5" t="inlineStr">
        <is>
          <t>Employer Pension</t>
        </is>
      </c>
      <c r="B12" s="8" t="inlineStr">
        <is>
          <t>N/A</t>
        </is>
      </c>
      <c r="C12" s="6" t="n">
        <v>606.35</v>
      </c>
      <c r="D12" s="5" t="inlineStr">
        <is>
          <t>~£850 est</t>
        </is>
      </c>
    </row>
    <row r="14">
      <c r="A14" s="9" t="inlineStr">
        <is>
          <t>TOTAL TAX + NI PAID BY YOU</t>
        </is>
      </c>
      <c r="D14" s="10">
        <f>D8+D9</f>
        <v/>
      </c>
    </row>
    <row r="15">
      <c r="A15" s="11" t="inlineStr">
        <is>
          <t>TOTAL INCLUDING EMPLOYER NI</t>
        </is>
      </c>
      <c r="D15" s="12">
        <f>D14+3889+1500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8" customWidth="1" min="4" max="4"/>
  </cols>
  <sheetData>
    <row r="1">
      <c r="A1" s="1" t="inlineStr">
        <is>
          <t>What You Paid vs What a UK Citizen Pays for the Same Job</t>
        </is>
      </c>
    </row>
    <row r="3">
      <c r="A3" s="3" t="inlineStr">
        <is>
          <t>Immigration &amp; Visa Costs</t>
        </is>
      </c>
    </row>
    <row r="4">
      <c r="A4" s="4" t="inlineStr">
        <is>
          <t>Cost Item</t>
        </is>
      </c>
      <c r="B4" s="4" t="inlineStr">
        <is>
          <t>You (PSW Graduate)</t>
        </is>
      </c>
      <c r="C4" s="4" t="inlineStr">
        <is>
          <t>UK Citizen</t>
        </is>
      </c>
      <c r="D4" s="4" t="inlineStr">
        <is>
          <t>Difference</t>
        </is>
      </c>
    </row>
    <row r="5">
      <c r="A5" s="5" t="inlineStr">
        <is>
          <t>MSc Tuition Fees (international rate)</t>
        </is>
      </c>
      <c r="B5" s="13" t="n">
        <v>17400</v>
      </c>
      <c r="C5" s="13" t="n">
        <v>9250</v>
      </c>
      <c r="D5" s="14">
        <f>B5-C5</f>
        <v/>
      </c>
    </row>
    <row r="6">
      <c r="A6" s="5" t="inlineStr">
        <is>
          <t>Scholarship received</t>
        </is>
      </c>
      <c r="B6" s="13" t="n">
        <v>-8000</v>
      </c>
      <c r="C6" s="13" t="n">
        <v>0</v>
      </c>
      <c r="D6" s="14">
        <f>B6-C6</f>
        <v/>
      </c>
    </row>
    <row r="7">
      <c r="A7" s="5" t="inlineStr">
        <is>
          <t>Net tuition paid</t>
        </is>
      </c>
      <c r="B7" s="14">
        <f>B5+B6</f>
        <v/>
      </c>
      <c r="C7" s="14">
        <f>C5+C6</f>
        <v/>
      </c>
      <c r="D7" s="14">
        <f>B7-C7</f>
        <v/>
      </c>
    </row>
    <row r="8">
      <c r="A8" s="5" t="inlineStr">
        <is>
          <t>PSW Visa Application Fee</t>
        </is>
      </c>
      <c r="B8" s="13" t="n">
        <v>822</v>
      </c>
      <c r="C8" s="13" t="n">
        <v>0</v>
      </c>
      <c r="D8" s="14">
        <f>B8-C8</f>
        <v/>
      </c>
    </row>
    <row r="9">
      <c r="A9" s="5" t="inlineStr">
        <is>
          <t>Immigration Health Surcharge (2 years)</t>
        </is>
      </c>
      <c r="B9" s="13" t="n">
        <v>2070</v>
      </c>
      <c r="C9" s="13" t="n">
        <v>0</v>
      </c>
      <c r="D9" s="14">
        <f>B9-C9</f>
        <v/>
      </c>
    </row>
    <row r="10">
      <c r="A10" s="5" t="inlineStr">
        <is>
          <t>Biometric Enrolment Fee</t>
        </is>
      </c>
      <c r="B10" s="13" t="n">
        <v>19.2</v>
      </c>
      <c r="C10" s="13" t="n">
        <v>0</v>
      </c>
      <c r="D10" s="14">
        <f>B10-C10</f>
        <v/>
      </c>
    </row>
    <row r="11">
      <c r="A11" s="5" t="inlineStr"/>
      <c r="B11" s="8" t="inlineStr"/>
      <c r="C11" s="8" t="inlineStr"/>
      <c r="D11" s="5" t="inlineStr"/>
    </row>
    <row r="12">
      <c r="A12" s="5" t="inlineStr">
        <is>
          <t>TOTAL EXTRA COST (immigration)</t>
        </is>
      </c>
      <c r="B12" s="15">
        <f>B7+B8+B9+B10</f>
        <v/>
      </c>
      <c r="C12" s="16">
        <f>C7+C8+C9+C10</f>
        <v/>
      </c>
      <c r="D12" s="17">
        <f>B12-C12</f>
        <v/>
      </c>
    </row>
    <row r="13">
      <c r="A13" s="5" t="inlineStr"/>
      <c r="B13" s="8" t="inlineStr"/>
      <c r="C13" s="8" t="inlineStr"/>
      <c r="D13" s="5" t="inlineStr"/>
    </row>
    <row r="14">
      <c r="A14" s="5" t="inlineStr">
        <is>
          <t>Tax &amp; NI (same job, same rates)</t>
        </is>
      </c>
      <c r="B14" s="13" t="n">
        <v>5793</v>
      </c>
      <c r="C14" s="13" t="n">
        <v>5793</v>
      </c>
      <c r="D14" s="5" t="n">
        <v>0</v>
      </c>
    </row>
    <row r="15">
      <c r="A15" s="5" t="inlineStr">
        <is>
          <t>NHS access</t>
        </is>
      </c>
      <c r="B15" s="8" t="inlineStr">
        <is>
          <t>Paid IHS + NI</t>
        </is>
      </c>
      <c r="C15" s="8" t="inlineStr">
        <is>
          <t>NI only</t>
        </is>
      </c>
      <c r="D15" s="5" t="inlineStr">
        <is>
          <t>Double charged</t>
        </is>
      </c>
    </row>
    <row r="16">
      <c r="A16" s="5" t="inlineStr">
        <is>
          <t>Benefits eligibility</t>
        </is>
      </c>
      <c r="B16" s="8" t="inlineStr">
        <is>
          <t>NONE (No Recourse to Public Funds)</t>
        </is>
      </c>
      <c r="C16" s="8" t="inlineStr">
        <is>
          <t>Full access</t>
        </is>
      </c>
      <c r="D16" s="5" t="inlineStr">
        <is>
          <t>Excluded</t>
        </is>
      </c>
    </row>
    <row r="17">
      <c r="A17" s="5" t="inlineStr">
        <is>
          <t>Right to work</t>
        </is>
      </c>
      <c r="B17" s="8" t="inlineStr">
        <is>
          <t>Expires Mar-Jun 2026</t>
        </is>
      </c>
      <c r="C17" s="8" t="inlineStr">
        <is>
          <t>Permanent</t>
        </is>
      </c>
      <c r="D17" s="5" t="inlineStr">
        <is>
          <t>Must reapply + pay again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The Double Charge: Paying for NHS Twice</t>
        </is>
      </c>
    </row>
    <row r="2">
      <c r="A2" s="2" t="inlineStr">
        <is>
          <t>PSW graduates pay National Insurance (which funds NHS) AND Immigration Health Surcharge (which funds NHS)</t>
        </is>
      </c>
    </row>
    <row r="4">
      <c r="A4" s="3" t="inlineStr">
        <is>
          <t>How the NHS Is Funded</t>
        </is>
      </c>
    </row>
    <row r="5">
      <c r="A5" s="4" t="inlineStr">
        <is>
          <t>Item</t>
        </is>
      </c>
      <c r="B5" s="4" t="inlineStr">
        <is>
          <t>Amount (£)</t>
        </is>
      </c>
    </row>
    <row r="6">
      <c r="A6" s="18" t="inlineStr">
        <is>
          <t>Your Employee NI paid (20 months)</t>
        </is>
      </c>
      <c r="B6" s="13" t="n">
        <v>1998.81</v>
      </c>
      <c r="E6" t="inlineStr">
        <is>
          <t>NI contribution to NHS</t>
        </is>
      </c>
      <c r="F6" t="n">
        <v>1599.05</v>
      </c>
    </row>
    <row r="7">
      <c r="A7" s="18" t="inlineStr">
        <is>
          <t>NHS share of NI (~80%)</t>
        </is>
      </c>
      <c r="B7" s="13">
        <f>B6*0.8</f>
        <v/>
      </c>
      <c r="E7" t="inlineStr">
        <is>
          <t>IHS (duplicate charge)</t>
        </is>
      </c>
      <c r="F7" t="n">
        <v>2070</v>
      </c>
    </row>
    <row r="8">
      <c r="A8" s="18" t="inlineStr">
        <is>
          <t>Your IHS paid (2 years)</t>
        </is>
      </c>
      <c r="B8" s="13" t="n">
        <v>2070</v>
      </c>
    </row>
    <row r="9">
      <c r="A9" s="18" t="inlineStr">
        <is>
          <t>TOTAL you paid towards NHS</t>
        </is>
      </c>
      <c r="B9" s="15">
        <f>B7+B8</f>
        <v/>
      </c>
    </row>
    <row r="10">
      <c r="A10" s="19" t="inlineStr"/>
      <c r="B10" s="8" t="inlineStr"/>
    </row>
    <row r="11">
      <c r="A11" s="18" t="inlineStr">
        <is>
          <t>A UK citizen on same salary pays:</t>
        </is>
      </c>
      <c r="B11" s="8" t="inlineStr"/>
    </row>
    <row r="12">
      <c r="A12" s="18" t="inlineStr">
        <is>
          <t>Their Employee NI (same amount)</t>
        </is>
      </c>
      <c r="B12" s="13" t="n">
        <v>1998.81</v>
      </c>
    </row>
    <row r="13">
      <c r="A13" s="18" t="inlineStr">
        <is>
          <t>Their IHS</t>
        </is>
      </c>
      <c r="B13" s="13" t="n">
        <v>0</v>
      </c>
    </row>
    <row r="14">
      <c r="A14" s="18" t="inlineStr">
        <is>
          <t>TOTAL they paid towards NHS</t>
        </is>
      </c>
      <c r="B14" s="13" t="n">
        <v>1998.81</v>
      </c>
    </row>
    <row r="15">
      <c r="A15" s="19" t="inlineStr"/>
      <c r="B15" s="8" t="inlineStr"/>
    </row>
    <row r="16">
      <c r="A16" s="18" t="inlineStr">
        <is>
          <t>YOU OVERPAID FOR NHS BY:</t>
        </is>
      </c>
      <c r="B16" s="16">
        <f>B14+B15</f>
        <v/>
      </c>
    </row>
    <row r="17">
      <c r="A17" s="19" t="inlineStr"/>
      <c r="B17" s="8" t="inlineStr"/>
    </row>
    <row r="18">
      <c r="A18" s="18" t="inlineStr">
        <is>
          <t>NHS services you actually used:</t>
        </is>
      </c>
      <c r="B18" s="17">
        <f>B9-B16</f>
        <v/>
      </c>
    </row>
    <row r="19">
      <c r="A19" s="18" t="inlineStr">
        <is>
          <t>GP visits</t>
        </is>
      </c>
      <c r="B19" s="13" t="n">
        <v>0</v>
      </c>
    </row>
    <row r="20">
      <c r="A20" s="18" t="inlineStr">
        <is>
          <t>Hospital admissions</t>
        </is>
      </c>
      <c r="B20" s="13" t="n">
        <v>0</v>
      </c>
    </row>
    <row r="21">
      <c r="A21" s="18" t="inlineStr">
        <is>
          <t>A&amp;E visits</t>
        </is>
      </c>
      <c r="B21" s="13" t="n">
        <v>1</v>
      </c>
    </row>
    <row r="22">
      <c r="A22" s="18" t="inlineStr">
        <is>
          <t>Prescriptions (you paid for these too)</t>
        </is>
      </c>
      <c r="B22" s="8" t="inlineStr">
        <is>
          <t>Yes - charged</t>
        </is>
      </c>
    </row>
    <row r="23">
      <c r="A23" s="18" t="inlineStr">
        <is>
          <t>Estimated NHS cost of your care</t>
        </is>
      </c>
      <c r="B23" s="13" t="n">
        <v>150</v>
      </c>
    </row>
    <row r="24">
      <c r="A24" s="19" t="inlineStr"/>
      <c r="B24" s="8" t="inlineStr"/>
    </row>
    <row r="25">
      <c r="A25" s="20" t="inlineStr">
        <is>
          <t>You paid £3,669 for £150 of NHS care</t>
        </is>
      </c>
      <c r="B25" s="21">
        <f>B9-B23</f>
        <v/>
      </c>
    </row>
  </sheetData>
  <mergeCells count="2">
    <mergeCell ref="A1:C1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" t="inlineStr">
        <is>
          <t>Am I a Net Contributor to the UK?</t>
        </is>
      </c>
    </row>
    <row r="3">
      <c r="A3" s="22" t="inlineStr">
        <is>
          <t>What You Put In</t>
        </is>
      </c>
    </row>
    <row r="4">
      <c r="A4" s="4" t="inlineStr">
        <is>
          <t>Item</t>
        </is>
      </c>
      <c r="B4" s="4" t="inlineStr">
        <is>
          <t>Amount (£)</t>
        </is>
      </c>
    </row>
    <row r="5">
      <c r="A5" s="5" t="inlineStr">
        <is>
          <t>PAYE Income Tax</t>
        </is>
      </c>
      <c r="B5" s="13" t="n">
        <v>3794.2</v>
      </c>
    </row>
    <row r="6">
      <c r="A6" s="5" t="inlineStr">
        <is>
          <t>Employee National Insurance</t>
        </is>
      </c>
      <c r="B6" s="13" t="n">
        <v>1998.81</v>
      </c>
    </row>
    <row r="7">
      <c r="A7" s="5" t="inlineStr">
        <is>
          <t>Employer NI (exists because of your job)</t>
        </is>
      </c>
      <c r="B7" s="13" t="n">
        <v>5400</v>
      </c>
    </row>
    <row r="8">
      <c r="A8" s="5" t="inlineStr">
        <is>
          <t>Pension contributions (employee + employer)</t>
        </is>
      </c>
      <c r="B8" s="13" t="n">
        <v>2075</v>
      </c>
    </row>
    <row r="9">
      <c r="A9" s="5" t="inlineStr">
        <is>
          <t>PSW Visa Fee</t>
        </is>
      </c>
      <c r="B9" s="13" t="n">
        <v>822</v>
      </c>
    </row>
    <row r="10">
      <c r="A10" s="5" t="inlineStr">
        <is>
          <t>Immigration Health Surcharge</t>
        </is>
      </c>
      <c r="B10" s="13" t="n">
        <v>2070</v>
      </c>
    </row>
    <row r="11">
      <c r="A11" s="5" t="inlineStr">
        <is>
          <t>University tuition (net, to UK institution)</t>
        </is>
      </c>
      <c r="B11" s="13" t="n">
        <v>9400</v>
      </c>
    </row>
    <row r="12">
      <c r="A12" s="5" t="inlineStr">
        <is>
          <t>VAT on spending (~20% on £10,000 goods)</t>
        </is>
      </c>
      <c r="B12" s="13" t="n">
        <v>2000</v>
      </c>
    </row>
    <row r="13">
      <c r="A13" s="5" t="inlineStr">
        <is>
          <t>Council Tax (through rent, estimated)</t>
        </is>
      </c>
      <c r="B13" s="13" t="n">
        <v>600</v>
      </c>
    </row>
    <row r="14">
      <c r="A14" s="5" t="inlineStr">
        <is>
          <t>TOTAL PUT IN</t>
        </is>
      </c>
      <c r="B14" s="23">
        <f>SUM(B5:B13)</f>
        <v/>
      </c>
    </row>
    <row r="16">
      <c r="A16" s="24" t="inlineStr">
        <is>
          <t>What You Took Out</t>
        </is>
      </c>
    </row>
    <row r="17">
      <c r="A17" s="4" t="inlineStr">
        <is>
          <t>Item</t>
        </is>
      </c>
      <c r="B17" s="4" t="inlineStr">
        <is>
          <t>Amount (£)</t>
        </is>
      </c>
    </row>
    <row r="18">
      <c r="A18" s="5" t="inlineStr">
        <is>
          <t>NHS usage (1 A&amp;E visit, estimated cost)</t>
        </is>
      </c>
      <c r="B18" s="13" t="n">
        <v>150</v>
      </c>
    </row>
    <row r="19">
      <c r="A19" s="5" t="inlineStr">
        <is>
          <t>Benefits claimed</t>
        </is>
      </c>
      <c r="B19" s="13" t="n">
        <v>0</v>
      </c>
    </row>
    <row r="20">
      <c r="A20" s="5" t="inlineStr">
        <is>
          <t>Social housing</t>
        </is>
      </c>
      <c r="B20" s="13" t="n">
        <v>0</v>
      </c>
    </row>
    <row r="21">
      <c r="A21" s="5" t="inlineStr">
        <is>
          <t>Education (UK-funded)</t>
        </is>
      </c>
      <c r="B21" s="13" t="n">
        <v>0</v>
      </c>
    </row>
    <row r="22">
      <c r="A22" s="5" t="inlineStr">
        <is>
          <t>Legal aid</t>
        </is>
      </c>
      <c r="B22" s="13" t="n">
        <v>0</v>
      </c>
    </row>
    <row r="23">
      <c r="A23" s="5" t="inlineStr">
        <is>
          <t>TOTAL TOOK OUT</t>
        </is>
      </c>
      <c r="B23" s="15">
        <f>SUM(B18:B22)</f>
        <v/>
      </c>
    </row>
    <row r="25">
      <c r="A25" s="25" t="inlineStr">
        <is>
          <t>NET CONTRIBUTION TO THE UK</t>
        </is>
      </c>
      <c r="B25" s="26">
        <f>B14-B23</f>
        <v/>
      </c>
    </row>
    <row r="27">
      <c r="A27" s="25" t="inlineStr">
        <is>
          <t>VERDICT</t>
        </is>
      </c>
    </row>
    <row r="28" ht="80" customHeight="1">
      <c r="A28" s="27" t="inlineStr">
        <is>
          <t>In 20 months of living in the UK, you contributed approximately £28,000 to the UK economy through taxes, NI, visa fees, tuition, and indirect taxes. You consumed approximately £150 of public services. Your net contribution is overwhelmingly positive. The IHS is a duplicate charge on top of NI, which already funds the NHS. A UK citizen in the same job would have paid £2,892 less for identical access.</t>
        </is>
      </c>
    </row>
  </sheetData>
  <mergeCells count="2">
    <mergeCell ref="A1:C1"/>
    <mergeCell ref="A28:B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18" customWidth="1" min="4" max="4"/>
  </cols>
  <sheetData>
    <row r="1">
      <c r="A1" s="1" t="inlineStr">
        <is>
          <t>Your Pension Contributions</t>
        </is>
      </c>
    </row>
    <row r="3">
      <c r="A3" s="3" t="inlineStr">
        <is>
          <t>Pension Summary</t>
        </is>
      </c>
    </row>
    <row r="4">
      <c r="A4" s="4" t="inlineStr"/>
      <c r="B4" s="4" t="inlineStr">
        <is>
          <t>Cranswick</t>
        </is>
      </c>
      <c r="C4" s="4" t="inlineStr">
        <is>
          <t>Copernus</t>
        </is>
      </c>
      <c r="D4" s="4" t="inlineStr">
        <is>
          <t>Total</t>
        </is>
      </c>
    </row>
    <row r="5">
      <c r="A5" s="5" t="inlineStr">
        <is>
          <t>Employee contributions (salary sacrifice)</t>
        </is>
      </c>
      <c r="B5" s="6" t="n">
        <v>214.28</v>
      </c>
      <c r="C5" s="6" t="n">
        <v>1010.6</v>
      </c>
      <c r="D5" s="16">
        <f>B5+C5</f>
        <v/>
      </c>
    </row>
    <row r="6">
      <c r="A6" s="5" t="inlineStr">
        <is>
          <t>Employer contributions</t>
        </is>
      </c>
      <c r="B6" s="8" t="inlineStr">
        <is>
          <t>~£130 est</t>
        </is>
      </c>
      <c r="C6" s="6" t="n">
        <v>606.35</v>
      </c>
      <c r="D6" s="8" t="inlineStr">
        <is>
          <t>~£736</t>
        </is>
      </c>
    </row>
    <row r="7">
      <c r="A7" s="5" t="inlineStr">
        <is>
          <t>TOTAL in your pension pot</t>
        </is>
      </c>
      <c r="B7" s="8" t="n"/>
      <c r="C7" s="8" t="n"/>
      <c r="D7" s="16">
        <f>B5+C5+130+C6</f>
        <v/>
      </c>
    </row>
    <row r="8">
      <c r="A8" s="5" t="inlineStr"/>
      <c r="B8" s="8" t="inlineStr"/>
      <c r="C8" s="8" t="inlineStr"/>
      <c r="D8" s="8" t="inlineStr"/>
    </row>
    <row r="9">
      <c r="A9" s="5" t="inlineStr">
        <is>
          <t>Pension scheme</t>
        </is>
      </c>
      <c r="B9" s="8" t="inlineStr">
        <is>
          <t>L&amp;G (Legal &amp; General)</t>
        </is>
      </c>
      <c r="C9" s="8" t="inlineStr">
        <is>
          <t>Workplace pension</t>
        </is>
      </c>
      <c r="D9" s="8" t="inlineStr"/>
    </row>
    <row r="10">
      <c r="A10" s="5" t="inlineStr">
        <is>
          <t>Contribution type</t>
        </is>
      </c>
      <c r="B10" s="8" t="inlineStr">
        <is>
          <t>Salary sacrifice (pre-tax)</t>
        </is>
      </c>
      <c r="C10" s="8" t="inlineStr">
        <is>
          <t>Salary sacrifice (pre-tax)</t>
        </is>
      </c>
      <c r="D10" s="8" t="inlineStr"/>
    </row>
    <row r="11">
      <c r="A11" s="5" t="inlineStr">
        <is>
          <t>Auto-enrolment</t>
        </is>
      </c>
      <c r="B11" s="8" t="inlineStr">
        <is>
          <t>Started late (~Jan 2025)</t>
        </is>
      </c>
      <c r="C11" s="8" t="inlineStr">
        <is>
          <t>From start (Apr 2025)</t>
        </is>
      </c>
      <c r="D11" s="8" t="inlineStr"/>
    </row>
    <row r="14">
      <c r="A14" s="24" t="inlineStr">
        <is>
          <t>Important Notes</t>
        </is>
      </c>
    </row>
    <row r="15" ht="30" customHeight="1">
      <c r="A15" s="28" t="inlineStr">
        <is>
          <t>• Your pension is locked until age 55 (57 from 2028). You cannot access it early.</t>
        </is>
      </c>
    </row>
    <row r="16" ht="30" customHeight="1">
      <c r="A16" s="28" t="inlineStr">
        <is>
          <t>• If you leave the UK permanently, you can transfer your pension to an overseas scheme (QROPS) or leave it in the UK.</t>
        </is>
      </c>
    </row>
    <row r="17" ht="30" customHeight="1">
      <c r="A17" s="28" t="inlineStr">
        <is>
          <t>• Salary sacrifice means your contributions came out BEFORE tax — this saved you tax.</t>
        </is>
      </c>
    </row>
    <row r="18" ht="30" customHeight="1">
      <c r="A18" s="28" t="inlineStr">
        <is>
          <t>• Estimated total pension pot: ~£1,960. This will grow with investment returns.</t>
        </is>
      </c>
    </row>
    <row r="19" ht="30" customHeight="1">
      <c r="A19" s="28" t="inlineStr">
        <is>
          <t>• Check your pension provider portals: Legal &amp; General (Cranswick) and your Copernus provider.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2026-03-18T22:19:24Z</dcterms:created>
  <dcterms:modified xsi:type="dcterms:W3CDTF">2026-03-18T22:19:24Z</dcterms:modified>
</cp:coreProperties>
</file>